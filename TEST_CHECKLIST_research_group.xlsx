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 quan" sheetId="1" state="visible" r:id="rId3"/>
    <sheet name="1. Auth" sheetId="2" state="visible" r:id="rId4"/>
    <sheet name="2. User" sheetId="3" state="visible" r:id="rId5"/>
    <sheet name="3. Research Project" sheetId="4" state="visible" r:id="rId6"/>
    <sheet name="4. Member" sheetId="5" state="visible" r:id="rId7"/>
    <sheet name="5. Research Task" sheetId="6" state="visible" r:id="rId8"/>
    <sheet name="6. Comment-Attach (Nang cao)" sheetId="7" state="visible" r:id="rId9"/>
    <sheet name="7. Loi he tho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<sst xmlns="http://schemas.openxmlformats.org/spreadsheetml/2006/main" count="455" uniqueCount="222">
  <si>
    <t xml:space="preserve">Research Group Management API - Test Checklist</t>
  </si>
  <si>
    <t xml:space="preserve">Checklist kiem thu thu cong tren Swagger UI (/docs) hoac Postman, bao gom ca case dung (happy path) va case loi.
Cach lay token de test: bam nut Authorize tren Swagger, nhap email vao o "username" va mat khau vao o "password" (endpoint POST /auth/login dang OAuth2 form). Tren Postman: goi POST /auth/login voi body dang x-www-form-urlencoded (key "username" = email, key "password"), roi gan access_token vao header Authorization: Bearer &lt;token&gt;.
Quy uoc response: cac endpoint POST/PATCH nhan du lieu dang JSON (application/json), rieng /auth/login dung form theo chuan OAuth2. Moi response THANH CONG (2xx co body) deu duoc boc envelope 6 truong {statusCode, message, data, error, timestamp, path} - du lieu that nam trong truong data. Ngoai le: 204 No Content va /auth/login, /auth/refresh khong boc (giu nguyen dinh dang goc).</t>
  </si>
  <si>
    <t xml:space="preserve">Huong dan dien: mo tung sheet module, thuc hien dung tung case tren Swagger/Postman, roi sua cot Test tu PENDING thanh PASS hoac FAIL. Bang tong hop ben duoi tu dong cap nhat.</t>
  </si>
  <si>
    <t xml:space="preserve">Nhom</t>
  </si>
  <si>
    <t xml:space="preserve">So case</t>
  </si>
  <si>
    <t xml:space="preserve">Da PASS</t>
  </si>
  <si>
    <t xml:space="preserve">Con PENDING</t>
  </si>
  <si>
    <t xml:space="preserve">1. Auth</t>
  </si>
  <si>
    <t xml:space="preserve">2. User</t>
  </si>
  <si>
    <t xml:space="preserve">3. Research Project</t>
  </si>
  <si>
    <t xml:space="preserve">4. Member</t>
  </si>
  <si>
    <t xml:space="preserve">5. Research Task</t>
  </si>
  <si>
    <t xml:space="preserve">6. Comment-Attach (Nang cao)</t>
  </si>
  <si>
    <t xml:space="preserve">7. Loi he thong</t>
  </si>
  <si>
    <t xml:space="preserve">TONG CONG</t>
  </si>
  <si>
    <t xml:space="preserve">Ghi chu: 65/65 case da duoc kiem thu va PASS (cap nhat 26/08/2026). Nhom 1 (Auth, 13 case), 2 (User, 5 case), 3 (Research Project, 12 case), 4 (Member, 8 case) va 7 (Loi he thong, 6 case) - tong 44 case - duoc xac nhan bang bo test tu dong (pytest tests/ -v, 44/44 pass; xem tests/test_auth.py, tests/test_users.py, tests/test_research_project.py, tests/test_members.py, tests/test_system_errors.py). Nhom 5 (Research Task, 16 case) va 6 (Comment &amp; Attachment - da lam phan Nang cao Tiet 4, 5 case) - tong 21 case - chua co bo test tu dong nen duoc kiem thu thu cong bang script mo phong TestClient tuan tu tung case (xem manual_check_group_5_6.py) va da xac nhan PASS. Trong qua trinh test da phat hien va fix 4 loi thuc te trong code (xem muc 'Loi da fix' o file huong dan di kem).</t>
  </si>
  <si>
    <t xml:space="preserve">#</t>
  </si>
  <si>
    <t xml:space="preserve">Method</t>
  </si>
  <si>
    <t xml:space="preserve">Endpoint</t>
  </si>
  <si>
    <t xml:space="preserve">Case</t>
  </si>
  <si>
    <t xml:space="preserve">Ket qua mong doi</t>
  </si>
  <si>
    <t xml:space="preserve">Test</t>
  </si>
  <si>
    <t xml:space="preserve">1.1</t>
  </si>
  <si>
    <t xml:space="preserve">POST</t>
  </si>
  <si>
    <t xml:space="preserve">/auth/register</t>
  </si>
  <si>
    <t xml:space="preserve">Dang ky hop le</t>
  </si>
  <si>
    <t xml:space="preserve">201, tra ve user, KHONG co password_hash</t>
  </si>
  <si>
    <t xml:space="preserve">PASS</t>
  </si>
  <si>
    <t xml:space="preserve">1.2</t>
  </si>
  <si>
    <t xml:space="preserve">Email da ton tai</t>
  </si>
  <si>
    <t xml:space="preserve">409 Conflict</t>
  </si>
  <si>
    <t xml:space="preserve">1.3</t>
  </si>
  <si>
    <t xml:space="preserve">Email sai dinh dang</t>
  </si>
  <si>
    <t xml:space="preserve">422</t>
  </si>
  <si>
    <t xml:space="preserve">1.4</t>
  </si>
  <si>
    <t xml:space="preserve">Password &lt; 8 ky tu</t>
  </si>
  <si>
    <t xml:space="preserve">1.5</t>
  </si>
  <si>
    <t xml:space="preserve">full_name toan khoang trang ("   ")</t>
  </si>
  <si>
    <t xml:space="preserve">422 (neu da them validator strip)</t>
  </si>
  <si>
    <t xml:space="preserve">1.6</t>
  </si>
  <si>
    <t xml:space="preserve">/auth/login</t>
  </si>
  <si>
    <t xml:space="preserve">Email/password dung</t>
  </si>
  <si>
    <t xml:space="preserve">200, co access_token + refresh_token</t>
  </si>
  <si>
    <t xml:space="preserve">1.7</t>
  </si>
  <si>
    <t xml:space="preserve">Sai password</t>
  </si>
  <si>
    <t xml:space="preserve">401, thong bao chung chung (khong lo email co ton tai hay khong)</t>
  </si>
  <si>
    <t xml:space="preserve">1.8</t>
  </si>
  <si>
    <t xml:space="preserve">Email khong ton tai</t>
  </si>
  <si>
    <t xml:space="preserve">401, thong bao GIONG HET case sai password</t>
  </si>
  <si>
    <t xml:space="preserve">1.9</t>
  </si>
  <si>
    <t xml:space="preserve">Tai khoan is_active = false</t>
  </si>
  <si>
    <t xml:space="preserve">401 Account is inactive</t>
  </si>
  <si>
    <t xml:space="preserve">1.10</t>
  </si>
  <si>
    <t xml:space="preserve">Goi SAI lien tuc &gt; 5 lan/60s (cung IP)</t>
  </si>
  <si>
    <t xml:space="preserve">429 Too Many Requests</t>
  </si>
  <si>
    <t xml:space="preserve">1.11</t>
  </si>
  <si>
    <t xml:space="preserve">/auth/refresh</t>
  </si>
  <si>
    <t xml:space="preserve">Refresh token hop le</t>
  </si>
  <si>
    <t xml:space="preserve">200, cap access_token moi</t>
  </si>
  <si>
    <t xml:space="preserve">1.12</t>
  </si>
  <si>
    <t xml:space="preserve">Dung access_token thay vi refresh_token</t>
  </si>
  <si>
    <t xml:space="preserve">401 Invalid token type</t>
  </si>
  <si>
    <t xml:space="preserve">1.13</t>
  </si>
  <si>
    <t xml:space="preserve">Token rac / het han</t>
  </si>
  <si>
    <t xml:space="preserve">401</t>
  </si>
  <si>
    <t xml:space="preserve">2.1</t>
  </si>
  <si>
    <t xml:space="preserve">GET</t>
  </si>
  <si>
    <t xml:space="preserve">/users/me</t>
  </si>
  <si>
    <t xml:space="preserve">Co token hop le</t>
  </si>
  <si>
    <t xml:space="preserve">200, dung thong tin user hien tai, khong co password_hash</t>
  </si>
  <si>
    <t xml:space="preserve">2.2</t>
  </si>
  <si>
    <t xml:space="preserve">Khong co token</t>
  </si>
  <si>
    <t xml:space="preserve">2.3</t>
  </si>
  <si>
    <t xml:space="preserve">/users</t>
  </si>
  <si>
    <t xml:space="preserve">Admin goi</t>
  </si>
  <si>
    <t xml:space="preserve">200, danh sach user</t>
  </si>
  <si>
    <t xml:space="preserve">2.4</t>
  </si>
  <si>
    <t xml:space="preserve">User thuong (khong phai Admin) goi</t>
  </si>
  <si>
    <t xml:space="preserve">403</t>
  </si>
  <si>
    <t xml:space="preserve">2.5</t>
  </si>
  <si>
    <t xml:space="preserve">/users?search=...&amp;is_active=...</t>
  </si>
  <si>
    <t xml:space="preserve">Search theo ten/email, loc theo trang thai</t>
  </si>
  <si>
    <t xml:space="preserve">200, dung ket qua filter, khong phan biet hoa/thuong</t>
  </si>
  <si>
    <t xml:space="preserve">3.1</t>
  </si>
  <si>
    <t xml:space="preserve">/research-projects</t>
  </si>
  <si>
    <t xml:space="preserve">Tao hop le</t>
  </si>
  <si>
    <t xml:space="preserve">201, nguoi tao tu dong la OWNER trong research_members</t>
  </si>
  <si>
    <t xml:space="preserve">3.2</t>
  </si>
  <si>
    <t xml:space="preserve">name toan khoang trang</t>
  </si>
  <si>
    <t xml:space="preserve">3.3</t>
  </si>
  <si>
    <t xml:space="preserve">Chi tra de tai minh la owner/member</t>
  </si>
  <si>
    <t xml:space="preserve">200, khong lo de tai nguoi khac</t>
  </si>
  <si>
    <t xml:space="preserve">3.4</t>
  </si>
  <si>
    <t xml:space="preserve">/research-projects?search=...</t>
  </si>
  <si>
    <t xml:space="preserve">Search theo ten de tai</t>
  </si>
  <si>
    <t xml:space="preserve">200, dung ket qua</t>
  </si>
  <si>
    <t xml:space="preserve">3.5</t>
  </si>
  <si>
    <t xml:space="preserve">/research-projects/{id}</t>
  </si>
  <si>
    <t xml:space="preserve">La thanh vien (owner hoac member)</t>
  </si>
  <si>
    <t xml:space="preserve">200</t>
  </si>
  <si>
    <t xml:space="preserve">3.6</t>
  </si>
  <si>
    <t xml:space="preserve">Khong phai thanh vien</t>
  </si>
  <si>
    <t xml:space="preserve">3.7</t>
  </si>
  <si>
    <t xml:space="preserve">De tai khong ton tai</t>
  </si>
  <si>
    <t xml:space="preserve">404</t>
  </si>
  <si>
    <t xml:space="preserve">3.8</t>
  </si>
  <si>
    <t xml:space="preserve">PATCH</t>
  </si>
  <si>
    <t xml:space="preserve">OWNER sua</t>
  </si>
  <si>
    <t xml:space="preserve">3.9</t>
  </si>
  <si>
    <t xml:space="preserve">MEMBER (khong phai owner) sua</t>
  </si>
  <si>
    <t xml:space="preserve">3.10</t>
  </si>
  <si>
    <t xml:space="preserve">DELETE</t>
  </si>
  <si>
    <t xml:space="preserve">OWNER xoa (soft delete)</t>
  </si>
  <si>
    <t xml:space="preserve">204</t>
  </si>
  <si>
    <t xml:space="preserve">3.11</t>
  </si>
  <si>
    <t xml:space="preserve">Goi lai de tai vua xoa</t>
  </si>
  <si>
    <t xml:space="preserve">404 (khong phai 200, du con trong DB)</t>
  </si>
  <si>
    <t xml:space="preserve">3.12</t>
  </si>
  <si>
    <t xml:space="preserve">/research-tasks/{task_id}</t>
  </si>
  <si>
    <t xml:space="preserve">Goi task thuoc de tai vua xoa</t>
  </si>
  <si>
    <t xml:space="preserve">404 (khong lo du lieu de tai da xoa)</t>
  </si>
  <si>
    <t xml:space="preserve">4.1</t>
  </si>
  <si>
    <t xml:space="preserve">/research-projects/{id}/members</t>
  </si>
  <si>
    <t xml:space="preserve">OWNER them thanh vien hop le</t>
  </si>
  <si>
    <t xml:space="preserve">201</t>
  </si>
  <si>
    <t xml:space="preserve">4.2</t>
  </si>
  <si>
    <t xml:space="preserve">Them trung thanh vien da co</t>
  </si>
  <si>
    <t xml:space="preserve">4.3</t>
  </si>
  <si>
    <t xml:space="preserve">user_id am hoac 0</t>
  </si>
  <si>
    <t xml:space="preserve">422 (chan o schema)</t>
  </si>
  <si>
    <t xml:space="preserve">4.4</t>
  </si>
  <si>
    <t xml:space="preserve">user_id khong ton tai</t>
  </si>
  <si>
    <t xml:space="preserve">4.5</t>
  </si>
  <si>
    <t xml:space="preserve">MEMBER (khong phai owner) goi</t>
  </si>
  <si>
    <t xml:space="preserve">4.6</t>
  </si>
  <si>
    <t xml:space="preserve">Thanh vien bat ky xem danh sach</t>
  </si>
  <si>
    <t xml:space="preserve">200, dung role tung nguoi</t>
  </si>
  <si>
    <t xml:space="preserve">4.7</t>
  </si>
  <si>
    <t xml:space="preserve">/research-projects/{id}/members/{user_id}</t>
  </si>
  <si>
    <t xml:space="preserve">OWNER xoa member thuong</t>
  </si>
  <si>
    <t xml:space="preserve">4.8</t>
  </si>
  <si>
    <t xml:space="preserve">Xoa owner cuoi cung</t>
  </si>
  <si>
    <t xml:space="preserve">400 (khong duoc de de tai vo chu)</t>
  </si>
  <si>
    <t xml:space="preserve">5.1</t>
  </si>
  <si>
    <t xml:space="preserve">/research-projects/{id}/research-tasks</t>
  </si>
  <si>
    <t xml:space="preserve">Thanh vien tao hop le</t>
  </si>
  <si>
    <t xml:space="preserve">201, status mac dinh TODO</t>
  </si>
  <si>
    <t xml:space="preserve">5.2</t>
  </si>
  <si>
    <t xml:space="preserve">title toan khoang trang</t>
  </si>
  <si>
    <t xml:space="preserve">5.3</t>
  </si>
  <si>
    <t xml:space="preserve">assignee_id la nguoi ngoai de tai</t>
  </si>
  <si>
    <t xml:space="preserve">400</t>
  </si>
  <si>
    <t xml:space="preserve">5.4</t>
  </si>
  <si>
    <t xml:space="preserve">Nguoi ngoai de tai tao task</t>
  </si>
  <si>
    <t xml:space="preserve">5.5</t>
  </si>
  <si>
    <t xml:space="preserve">/research-projects/{id}/research-tasks?status=...</t>
  </si>
  <si>
    <t xml:space="preserve">Filter theo status</t>
  </si>
  <si>
    <t xml:space="preserve">5.6</t>
  </si>
  <si>
    <t xml:space="preserve">/research-projects/{id}/research-tasks?status=...&amp;priority=...</t>
  </si>
  <si>
    <t xml:space="preserve">Ket hop nhieu dieu kien filter</t>
  </si>
  <si>
    <t xml:space="preserve">200, dung giao cua cac dieu kien</t>
  </si>
  <si>
    <t xml:space="preserve">5.7</t>
  </si>
  <si>
    <t xml:space="preserve">/research-projects/{id}/research-tasks?search=...</t>
  </si>
  <si>
    <t xml:space="preserve">Search theo title</t>
  </si>
  <si>
    <t xml:space="preserve">200, khong phan biet hoa/thuong</t>
  </si>
  <si>
    <t xml:space="preserve">5.8</t>
  </si>
  <si>
    <t xml:space="preserve">/research-projects/{id}/research-tasks?page=&amp;size=</t>
  </si>
  <si>
    <t xml:space="preserve">Pagination</t>
  </si>
  <si>
    <t xml:space="preserve">200, dung so item va total</t>
  </si>
  <si>
    <t xml:space="preserve">5.9</t>
  </si>
  <si>
    <t xml:space="preserve">/research-tasks/{id}</t>
  </si>
  <si>
    <t xml:space="preserve">Chi tiet task, la thanh vien de tai</t>
  </si>
  <si>
    <t xml:space="preserve">5.10</t>
  </si>
  <si>
    <t xml:space="preserve">Khong phai thanh vien de tai</t>
  </si>
  <si>
    <t xml:space="preserve">5.11</t>
  </si>
  <si>
    <t xml:space="preserve">OWNER sua moi truong (bao gom status)</t>
  </si>
  <si>
    <t xml:space="preserve">5.12</t>
  </si>
  <si>
    <t xml:space="preserve">Assignee tu cap nhat status</t>
  </si>
  <si>
    <t xml:space="preserve">5.13</t>
  </si>
  <si>
    <t xml:space="preserve">Thanh vien khac (khong phai owner/assignee) sua</t>
  </si>
  <si>
    <t xml:space="preserve">5.14</t>
  </si>
  <si>
    <t xml:space="preserve">Go gan assignee_id = null</t>
  </si>
  <si>
    <t xml:space="preserve">200, assignee_id tra ve null</t>
  </si>
  <si>
    <t xml:space="preserve">5.15</t>
  </si>
  <si>
    <t xml:space="preserve">OWNER hoac Assignee xoa</t>
  </si>
  <si>
    <t xml:space="preserve">5.16</t>
  </si>
  <si>
    <t xml:space="preserve">Khong phai owner/assignee xoa</t>
  </si>
  <si>
    <t xml:space="preserve">6.1</t>
  </si>
  <si>
    <t xml:space="preserve">/research-tasks/{id}/comments</t>
  </si>
  <si>
    <t xml:space="preserve">Thanh vien binh luan (neu da lam Nang cao)</t>
  </si>
  <si>
    <t xml:space="preserve">6.2</t>
  </si>
  <si>
    <t xml:space="preserve">Nguoi ngoai de tai xem</t>
  </si>
  <si>
    <t xml:space="preserve">6.3</t>
  </si>
  <si>
    <t xml:space="preserve">/research-tasks/{id}/attachments</t>
  </si>
  <si>
    <t xml:space="preserve">Upload file hop le (neu da lam Nang cao)</t>
  </si>
  <si>
    <t xml:space="preserve">6.4</t>
  </si>
  <si>
    <t xml:space="preserve">Upload file sai dinh dang</t>
  </si>
  <si>
    <t xml:space="preserve">6.5</t>
  </si>
  <si>
    <t xml:space="preserve">Upload file vuot dung luong cho phep</t>
  </si>
  <si>
    <t xml:space="preserve">400 (hoac 413 neu tu quy uoc)</t>
  </si>
  <si>
    <t xml:space="preserve">7.1</t>
  </si>
  <si>
    <t xml:space="preserve">/khong-ton-tai</t>
  </si>
  <si>
    <t xml:space="preserve">Goi endpoint khong ton tai</t>
  </si>
  <si>
    <t xml:space="preserve">404, response dung dinh dang 6 truong</t>
  </si>
  <si>
    <t xml:space="preserve">7.2</t>
  </si>
  <si>
    <t xml:space="preserve">Bat ky endpoint co validate</t>
  </si>
  <si>
    <t xml:space="preserve">Loi validate (422)</t>
  </si>
  <si>
    <t xml:space="preserve">Response co chi tiet loi tung field</t>
  </si>
  <si>
    <t xml:space="preserve">7.3</t>
  </si>
  <si>
    <t xml:space="preserve">GET/POST</t>
  </si>
  <si>
    <t xml:space="preserve">Gia lap loi ngoai du kien</t>
  </si>
  <si>
    <t xml:space="preserve">Exception khong phai HTTPException</t>
  </si>
  <si>
    <t xml:space="preserve">500, dung format 6 truong, KHONG lo traceback</t>
  </si>
  <si>
    <t xml:space="preserve">7.4</t>
  </si>
  <si>
    <t xml:space="preserve">Bat ky endpoint can token</t>
  </si>
  <si>
    <t xml:space="preserve">Token rac / sai dinh dang</t>
  </si>
  <si>
    <t xml:space="preserve">7.5</t>
  </si>
  <si>
    <t xml:space="preserve">Thieu header Authorization</t>
  </si>
  <si>
    <t xml:space="preserve">7.6</t>
  </si>
  <si>
    <t xml:space="preserve">/health</t>
  </si>
  <si>
    <t xml:space="preserve">Kiem tra suc khoe he thong</t>
  </si>
  <si>
    <t xml:space="preserve">200, database: ok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</si>
</sst>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F5597"/>
        <bgColor rgb="FF555555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2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2" customFormat="false" ht="94.5" hidden="false" customHeight="true" outlineLevel="0" collapsed="false">
      <c r="A2" s="3" t="s">
        <v>1</v>
      </c>
      <c r="B2" s="3"/>
      <c r="C2" s="3"/>
      <c r="D2" s="3"/>
    </row>
    <row r="4" customFormat="false" ht="30" hidden="false" customHeight="true" outlineLevel="0" collapsed="false">
      <c r="A4" s="4" t="s">
        <v>2</v>
      </c>
      <c r="B4" s="4"/>
      <c r="C4" s="4"/>
      <c r="D4" s="4"/>
    </row>
    <row r="6" customFormat="false" ht="1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</row>
    <row r="7" customFormat="false" ht="15" hidden="false" customHeight="true" outlineLevel="0" collapsed="false">
      <c r="A7" s="6" t="s">
        <v>7</v>
      </c>
      <c r="B7" s="7" t="n">
        <f aca="false">COUNTA('1. Auth'!A4:A16)</f>
        <v>13</v>
      </c>
      <c r="C7" s="7" t="n">
        <f aca="false">COUNTIF('1. Auth'!F4:F16,"PASS")</f>
        <v>13</v>
      </c>
      <c r="D7" s="7" t="n">
        <f aca="false">COUNTIF('1. Auth'!F4:F16,"PENDING")</f>
        <v>0</v>
      </c>
    </row>
    <row r="8" customFormat="false" ht="15" hidden="false" customHeight="true" outlineLevel="0" collapsed="false">
      <c r="A8" s="6" t="s">
        <v>8</v>
      </c>
      <c r="B8" s="7" t="n">
        <f aca="false">COUNTA('2. User'!A4:A8)</f>
        <v>5</v>
      </c>
      <c r="C8" s="7" t="n">
        <f aca="false">COUNTIF('2. User'!F4:F8,"PASS")</f>
        <v>5</v>
      </c>
      <c r="D8" s="7" t="n">
        <f aca="false">COUNTIF('2. User'!F4:F8,"PENDING")</f>
        <v>0</v>
      </c>
    </row>
    <row r="9" customFormat="false" ht="15" hidden="false" customHeight="true" outlineLevel="0" collapsed="false">
      <c r="A9" s="6" t="s">
        <v>9</v>
      </c>
      <c r="B9" s="7" t="n">
        <f aca="false">COUNTA('3. Research Project'!A4:A15)</f>
        <v>12</v>
      </c>
      <c r="C9" s="7" t="n">
        <f aca="false">COUNTIF('3. Research Project'!F4:F15,"PASS")</f>
        <v>12</v>
      </c>
      <c r="D9" s="7" t="n">
        <f aca="false">COUNTIF('3. Research Project'!F4:F15,"PENDING")</f>
        <v>0</v>
      </c>
    </row>
    <row r="10" customFormat="false" ht="15" hidden="false" customHeight="true" outlineLevel="0" collapsed="false">
      <c r="A10" s="6" t="s">
        <v>10</v>
      </c>
      <c r="B10" s="7" t="n">
        <f aca="false">COUNTA('4. Member'!A4:A11)</f>
        <v>8</v>
      </c>
      <c r="C10" s="7" t="n">
        <f aca="false">COUNTIF('4. Member'!F4:F11,"PASS")</f>
        <v>8</v>
      </c>
      <c r="D10" s="7" t="n">
        <f aca="false">COUNTIF('4. Member'!F4:F11,"PENDING")</f>
        <v>0</v>
      </c>
    </row>
    <row r="11" customFormat="false" ht="15" hidden="false" customHeight="true" outlineLevel="0" collapsed="false">
      <c r="A11" s="6" t="s">
        <v>11</v>
      </c>
      <c r="B11" s="7" t="n">
        <f aca="false">COUNTA('5. Research Task'!A4:A19)</f>
        <v>16</v>
      </c>
      <c r="C11" s="7" t="n">
        <f aca="false">COUNTIF('5. Research Task'!F4:F19,"PASS")</f>
        <v>16</v>
      </c>
      <c r="D11" s="7" t="n">
        <f aca="false">COUNTIF('5. Research Task'!F4:F19,"PENDING")</f>
        <v>0</v>
      </c>
    </row>
    <row r="12" customFormat="false" ht="15" hidden="false" customHeight="true" outlineLevel="0" collapsed="false">
      <c r="A12" s="6" t="s">
        <v>12</v>
      </c>
      <c r="B12" s="7" t="n">
        <f aca="false">COUNTA('6. Comment-Attach (Nang cao)'!A4:A8)</f>
        <v>5</v>
      </c>
      <c r="C12" s="7" t="n">
        <f aca="false">COUNTIF('6. Comment-Attach (Nang cao)'!F4:F8,"PASS")</f>
        <v>5</v>
      </c>
      <c r="D12" s="7" t="n">
        <f aca="false">COUNTIF('6. Comment-Attach (Nang cao)'!F4:F8,"PENDING")</f>
        <v>0</v>
      </c>
    </row>
    <row r="13" customFormat="false" ht="15" hidden="false" customHeight="true" outlineLevel="0" collapsed="false">
      <c r="A13" s="6" t="s">
        <v>13</v>
      </c>
      <c r="B13" s="7" t="n">
        <f aca="false">COUNTA('7. Loi he thong'!A4:A9)</f>
        <v>6</v>
      </c>
      <c r="C13" s="7" t="n">
        <f aca="false">COUNTIF('7. Loi he thong'!F4:F9,"PASS")</f>
        <v>6</v>
      </c>
      <c r="D13" s="7" t="n">
        <f aca="false">COUNTIF('7. Loi he thong'!F4:F9,"PENDING")</f>
        <v>0</v>
      </c>
    </row>
    <row r="14" customFormat="false" ht="15" hidden="false" customHeight="true" outlineLevel="0" collapsed="false">
      <c r="A14" s="8" t="s">
        <v>14</v>
      </c>
      <c r="B14" s="9" t="n">
        <f aca="false">SUM(B7:B13)</f>
        <v>65</v>
      </c>
      <c r="C14" s="9" t="n">
        <f aca="false">SUM(C7:C13)</f>
        <v>65</v>
      </c>
      <c r="D14" s="9" t="n">
        <f aca="false">SUM(D7:D13)</f>
        <v>0</v>
      </c>
    </row>
    <row r="16" customFormat="false" ht="30" hidden="false" customHeight="true" outlineLevel="0" collapsed="false">
      <c r="A16" s="10" t="s">
        <v>15</v>
      </c>
      <c r="B16" s="10"/>
      <c r="C16" s="10"/>
      <c r="D16" s="10"/>
    </row>
  </sheetData>
  <mergeCells count="4">
    <mergeCell ref="A1:D1"/>
    <mergeCell ref="A2:D2"/>
    <mergeCell ref="A4:D4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7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</row>
    <row r="4" customFormat="false" ht="15" hidden="false" customHeight="true" outlineLevel="0" collapsed="false">
      <c r="A4" s="11" t="s">
        <v>22</v>
      </c>
      <c r="B4" s="11" t="s">
        <v>23</v>
      </c>
      <c r="C4" s="12" t="s">
        <v>24</v>
      </c>
      <c r="D4" s="12" t="s">
        <v>25</v>
      </c>
      <c r="E4" s="12" t="s">
        <v>26</v>
      </c>
      <c r="F4" s="13" t="s">
        <v>27</v>
      </c>
    </row>
    <row r="5" customFormat="false" ht="15" hidden="false" customHeight="true" outlineLevel="0" collapsed="false">
      <c r="A5" s="11" t="s">
        <v>28</v>
      </c>
      <c r="B5" s="11" t="s">
        <v>23</v>
      </c>
      <c r="C5" s="12" t="s">
        <v>24</v>
      </c>
      <c r="D5" s="12" t="s">
        <v>29</v>
      </c>
      <c r="E5" s="12" t="s">
        <v>30</v>
      </c>
      <c r="F5" s="13" t="s">
        <v>27</v>
      </c>
    </row>
    <row r="6" customFormat="false" ht="15" hidden="false" customHeight="true" outlineLevel="0" collapsed="false">
      <c r="A6" s="11" t="s">
        <v>31</v>
      </c>
      <c r="B6" s="11" t="s">
        <v>23</v>
      </c>
      <c r="C6" s="12" t="s">
        <v>24</v>
      </c>
      <c r="D6" s="12" t="s">
        <v>32</v>
      </c>
      <c r="E6" s="12" t="s">
        <v>33</v>
      </c>
      <c r="F6" s="13" t="s">
        <v>27</v>
      </c>
    </row>
    <row r="7" customFormat="false" ht="15" hidden="false" customHeight="true" outlineLevel="0" collapsed="false">
      <c r="A7" s="11" t="s">
        <v>34</v>
      </c>
      <c r="B7" s="11" t="s">
        <v>23</v>
      </c>
      <c r="C7" s="12" t="s">
        <v>24</v>
      </c>
      <c r="D7" s="12" t="s">
        <v>35</v>
      </c>
      <c r="E7" s="12" t="s">
        <v>33</v>
      </c>
      <c r="F7" s="13" t="s">
        <v>27</v>
      </c>
    </row>
    <row r="8" customFormat="false" ht="15" hidden="false" customHeight="true" outlineLevel="0" collapsed="false">
      <c r="A8" s="11" t="s">
        <v>36</v>
      </c>
      <c r="B8" s="11" t="s">
        <v>23</v>
      </c>
      <c r="C8" s="12" t="s">
        <v>24</v>
      </c>
      <c r="D8" s="12" t="s">
        <v>37</v>
      </c>
      <c r="E8" s="12" t="s">
        <v>38</v>
      </c>
      <c r="F8" s="13" t="s">
        <v>27</v>
      </c>
    </row>
    <row r="9" customFormat="false" ht="15" hidden="false" customHeight="true" outlineLevel="0" collapsed="false">
      <c r="A9" s="11" t="s">
        <v>39</v>
      </c>
      <c r="B9" s="11" t="s">
        <v>23</v>
      </c>
      <c r="C9" s="12" t="s">
        <v>40</v>
      </c>
      <c r="D9" s="12" t="s">
        <v>41</v>
      </c>
      <c r="E9" s="12" t="s">
        <v>42</v>
      </c>
      <c r="F9" s="13" t="s">
        <v>27</v>
      </c>
    </row>
    <row r="10" customFormat="false" ht="23.25" hidden="false" customHeight="true" outlineLevel="0" collapsed="false">
      <c r="A10" s="11" t="s">
        <v>43</v>
      </c>
      <c r="B10" s="11" t="s">
        <v>23</v>
      </c>
      <c r="C10" s="12" t="s">
        <v>40</v>
      </c>
      <c r="D10" s="12" t="s">
        <v>44</v>
      </c>
      <c r="E10" s="12" t="s">
        <v>45</v>
      </c>
      <c r="F10" s="13" t="s">
        <v>27</v>
      </c>
    </row>
    <row r="11" customFormat="false" ht="15" hidden="false" customHeight="true" outlineLevel="0" collapsed="false">
      <c r="A11" s="11" t="s">
        <v>46</v>
      </c>
      <c r="B11" s="11" t="s">
        <v>23</v>
      </c>
      <c r="C11" s="12" t="s">
        <v>40</v>
      </c>
      <c r="D11" s="12" t="s">
        <v>47</v>
      </c>
      <c r="E11" s="12" t="s">
        <v>48</v>
      </c>
      <c r="F11" s="13" t="s">
        <v>27</v>
      </c>
    </row>
    <row r="12" customFormat="false" ht="15" hidden="false" customHeight="true" outlineLevel="0" collapsed="false">
      <c r="A12" s="11" t="s">
        <v>49</v>
      </c>
      <c r="B12" s="11" t="s">
        <v>23</v>
      </c>
      <c r="C12" s="12" t="s">
        <v>40</v>
      </c>
      <c r="D12" s="12" t="s">
        <v>50</v>
      </c>
      <c r="E12" s="12" t="s">
        <v>51</v>
      </c>
      <c r="F12" s="13" t="s">
        <v>27</v>
      </c>
    </row>
    <row r="13" customFormat="false" ht="15" hidden="false" customHeight="true" outlineLevel="0" collapsed="false">
      <c r="A13" s="11" t="s">
        <v>52</v>
      </c>
      <c r="B13" s="11" t="s">
        <v>23</v>
      </c>
      <c r="C13" s="12" t="s">
        <v>40</v>
      </c>
      <c r="D13" s="12" t="s">
        <v>53</v>
      </c>
      <c r="E13" s="12" t="s">
        <v>54</v>
      </c>
      <c r="F13" s="13" t="s">
        <v>27</v>
      </c>
    </row>
    <row r="14" customFormat="false" ht="15" hidden="false" customHeight="true" outlineLevel="0" collapsed="false">
      <c r="A14" s="11" t="s">
        <v>55</v>
      </c>
      <c r="B14" s="11" t="s">
        <v>23</v>
      </c>
      <c r="C14" s="12" t="s">
        <v>56</v>
      </c>
      <c r="D14" s="12" t="s">
        <v>57</v>
      </c>
      <c r="E14" s="12" t="s">
        <v>58</v>
      </c>
      <c r="F14" s="13" t="s">
        <v>27</v>
      </c>
    </row>
    <row r="15" customFormat="false" ht="15" hidden="false" customHeight="true" outlineLevel="0" collapsed="false">
      <c r="A15" s="11" t="s">
        <v>59</v>
      </c>
      <c r="B15" s="11" t="s">
        <v>23</v>
      </c>
      <c r="C15" s="12" t="s">
        <v>56</v>
      </c>
      <c r="D15" s="12" t="s">
        <v>60</v>
      </c>
      <c r="E15" s="12" t="s">
        <v>61</v>
      </c>
      <c r="F15" s="13" t="s">
        <v>27</v>
      </c>
    </row>
    <row r="16" customFormat="false" ht="15" hidden="false" customHeight="true" outlineLevel="0" collapsed="false">
      <c r="A16" s="11" t="s">
        <v>62</v>
      </c>
      <c r="B16" s="11" t="s">
        <v>23</v>
      </c>
      <c r="C16" s="12" t="s">
        <v>56</v>
      </c>
      <c r="D16" s="12" t="s">
        <v>63</v>
      </c>
      <c r="E16" s="12" t="s">
        <v>64</v>
      </c>
      <c r="F16" s="13" t="s">
        <v>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8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</row>
    <row r="4" customFormat="false" ht="15" hidden="false" customHeight="true" outlineLevel="0" collapsed="false">
      <c r="A4" s="11" t="s">
        <v>65</v>
      </c>
      <c r="B4" s="11" t="s">
        <v>66</v>
      </c>
      <c r="C4" s="12" t="s">
        <v>67</v>
      </c>
      <c r="D4" s="12" t="s">
        <v>68</v>
      </c>
      <c r="E4" s="12" t="s">
        <v>69</v>
      </c>
      <c r="F4" s="13" t="s">
        <v>27</v>
      </c>
    </row>
    <row r="5" customFormat="false" ht="15" hidden="false" customHeight="true" outlineLevel="0" collapsed="false">
      <c r="A5" s="11" t="s">
        <v>70</v>
      </c>
      <c r="B5" s="11" t="s">
        <v>66</v>
      </c>
      <c r="C5" s="12" t="s">
        <v>67</v>
      </c>
      <c r="D5" s="12" t="s">
        <v>71</v>
      </c>
      <c r="E5" s="12" t="s">
        <v>64</v>
      </c>
      <c r="F5" s="13" t="s">
        <v>27</v>
      </c>
    </row>
    <row r="6" customFormat="false" ht="15" hidden="false" customHeight="true" outlineLevel="0" collapsed="false">
      <c r="A6" s="11" t="s">
        <v>72</v>
      </c>
      <c r="B6" s="11" t="s">
        <v>66</v>
      </c>
      <c r="C6" s="12" t="s">
        <v>73</v>
      </c>
      <c r="D6" s="12" t="s">
        <v>74</v>
      </c>
      <c r="E6" s="12" t="s">
        <v>75</v>
      </c>
      <c r="F6" s="13" t="s">
        <v>27</v>
      </c>
    </row>
    <row r="7" customFormat="false" ht="15" hidden="false" customHeight="true" outlineLevel="0" collapsed="false">
      <c r="A7" s="11" t="s">
        <v>76</v>
      </c>
      <c r="B7" s="11" t="s">
        <v>66</v>
      </c>
      <c r="C7" s="12" t="s">
        <v>73</v>
      </c>
      <c r="D7" s="12" t="s">
        <v>77</v>
      </c>
      <c r="E7" s="12" t="s">
        <v>78</v>
      </c>
      <c r="F7" s="13" t="s">
        <v>27</v>
      </c>
    </row>
    <row r="8" customFormat="false" ht="15" hidden="false" customHeight="true" outlineLevel="0" collapsed="false">
      <c r="A8" s="11" t="s">
        <v>79</v>
      </c>
      <c r="B8" s="11" t="s">
        <v>66</v>
      </c>
      <c r="C8" s="12" t="s">
        <v>80</v>
      </c>
      <c r="D8" s="12" t="s">
        <v>81</v>
      </c>
      <c r="E8" s="12" t="s">
        <v>82</v>
      </c>
      <c r="F8" s="13" t="s">
        <v>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9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</row>
    <row r="4" customFormat="false" ht="23.25" hidden="false" customHeight="true" outlineLevel="0" collapsed="false">
      <c r="A4" s="11" t="s">
        <v>83</v>
      </c>
      <c r="B4" s="11" t="s">
        <v>23</v>
      </c>
      <c r="C4" s="12" t="s">
        <v>84</v>
      </c>
      <c r="D4" s="12" t="s">
        <v>85</v>
      </c>
      <c r="E4" s="12" t="s">
        <v>86</v>
      </c>
      <c r="F4" s="13" t="s">
        <v>27</v>
      </c>
    </row>
    <row r="5" customFormat="false" ht="15" hidden="false" customHeight="true" outlineLevel="0" collapsed="false">
      <c r="A5" s="11" t="s">
        <v>87</v>
      </c>
      <c r="B5" s="11" t="s">
        <v>23</v>
      </c>
      <c r="C5" s="12" t="s">
        <v>84</v>
      </c>
      <c r="D5" s="12" t="s">
        <v>88</v>
      </c>
      <c r="E5" s="12" t="s">
        <v>33</v>
      </c>
      <c r="F5" s="13" t="s">
        <v>27</v>
      </c>
    </row>
    <row r="6" customFormat="false" ht="15" hidden="false" customHeight="true" outlineLevel="0" collapsed="false">
      <c r="A6" s="11" t="s">
        <v>89</v>
      </c>
      <c r="B6" s="11" t="s">
        <v>66</v>
      </c>
      <c r="C6" s="12" t="s">
        <v>84</v>
      </c>
      <c r="D6" s="12" t="s">
        <v>90</v>
      </c>
      <c r="E6" s="12" t="s">
        <v>91</v>
      </c>
      <c r="F6" s="13" t="s">
        <v>27</v>
      </c>
    </row>
    <row r="7" customFormat="false" ht="15" hidden="false" customHeight="true" outlineLevel="0" collapsed="false">
      <c r="A7" s="11" t="s">
        <v>92</v>
      </c>
      <c r="B7" s="11" t="s">
        <v>66</v>
      </c>
      <c r="C7" s="12" t="s">
        <v>93</v>
      </c>
      <c r="D7" s="12" t="s">
        <v>94</v>
      </c>
      <c r="E7" s="12" t="s">
        <v>95</v>
      </c>
      <c r="F7" s="13" t="s">
        <v>27</v>
      </c>
    </row>
    <row r="8" customFormat="false" ht="15" hidden="false" customHeight="true" outlineLevel="0" collapsed="false">
      <c r="A8" s="11" t="s">
        <v>96</v>
      </c>
      <c r="B8" s="11" t="s">
        <v>66</v>
      </c>
      <c r="C8" s="12" t="s">
        <v>97</v>
      </c>
      <c r="D8" s="12" t="s">
        <v>98</v>
      </c>
      <c r="E8" s="12" t="s">
        <v>99</v>
      </c>
      <c r="F8" s="13" t="s">
        <v>27</v>
      </c>
    </row>
    <row r="9" customFormat="false" ht="15" hidden="false" customHeight="true" outlineLevel="0" collapsed="false">
      <c r="A9" s="11" t="s">
        <v>100</v>
      </c>
      <c r="B9" s="11" t="s">
        <v>66</v>
      </c>
      <c r="C9" s="12" t="s">
        <v>97</v>
      </c>
      <c r="D9" s="12" t="s">
        <v>101</v>
      </c>
      <c r="E9" s="12" t="s">
        <v>78</v>
      </c>
      <c r="F9" s="13" t="s">
        <v>27</v>
      </c>
    </row>
    <row r="10" customFormat="false" ht="15" hidden="false" customHeight="true" outlineLevel="0" collapsed="false">
      <c r="A10" s="11" t="s">
        <v>102</v>
      </c>
      <c r="B10" s="11" t="s">
        <v>66</v>
      </c>
      <c r="C10" s="12" t="s">
        <v>97</v>
      </c>
      <c r="D10" s="12" t="s">
        <v>103</v>
      </c>
      <c r="E10" s="12" t="s">
        <v>104</v>
      </c>
      <c r="F10" s="13" t="s">
        <v>27</v>
      </c>
    </row>
    <row r="11" customFormat="false" ht="15" hidden="false" customHeight="true" outlineLevel="0" collapsed="false">
      <c r="A11" s="11" t="s">
        <v>105</v>
      </c>
      <c r="B11" s="11" t="s">
        <v>106</v>
      </c>
      <c r="C11" s="12" t="s">
        <v>97</v>
      </c>
      <c r="D11" s="12" t="s">
        <v>107</v>
      </c>
      <c r="E11" s="12" t="s">
        <v>99</v>
      </c>
      <c r="F11" s="13" t="s">
        <v>27</v>
      </c>
    </row>
    <row r="12" customFormat="false" ht="15" hidden="false" customHeight="true" outlineLevel="0" collapsed="false">
      <c r="A12" s="11" t="s">
        <v>108</v>
      </c>
      <c r="B12" s="11" t="s">
        <v>106</v>
      </c>
      <c r="C12" s="12" t="s">
        <v>97</v>
      </c>
      <c r="D12" s="12" t="s">
        <v>109</v>
      </c>
      <c r="E12" s="12" t="s">
        <v>78</v>
      </c>
      <c r="F12" s="13" t="s">
        <v>27</v>
      </c>
    </row>
    <row r="13" customFormat="false" ht="15" hidden="false" customHeight="true" outlineLevel="0" collapsed="false">
      <c r="A13" s="11" t="s">
        <v>110</v>
      </c>
      <c r="B13" s="11" t="s">
        <v>111</v>
      </c>
      <c r="C13" s="12" t="s">
        <v>97</v>
      </c>
      <c r="D13" s="12" t="s">
        <v>112</v>
      </c>
      <c r="E13" s="12" t="s">
        <v>113</v>
      </c>
      <c r="F13" s="13" t="s">
        <v>27</v>
      </c>
    </row>
    <row r="14" customFormat="false" ht="15" hidden="false" customHeight="true" outlineLevel="0" collapsed="false">
      <c r="A14" s="11" t="s">
        <v>114</v>
      </c>
      <c r="B14" s="11" t="s">
        <v>66</v>
      </c>
      <c r="C14" s="12" t="s">
        <v>97</v>
      </c>
      <c r="D14" s="12" t="s">
        <v>115</v>
      </c>
      <c r="E14" s="12" t="s">
        <v>116</v>
      </c>
      <c r="F14" s="13" t="s">
        <v>27</v>
      </c>
    </row>
    <row r="15" customFormat="false" ht="15" hidden="false" customHeight="true" outlineLevel="0" collapsed="false">
      <c r="A15" s="11" t="s">
        <v>117</v>
      </c>
      <c r="B15" s="11" t="s">
        <v>66</v>
      </c>
      <c r="C15" s="12" t="s">
        <v>118</v>
      </c>
      <c r="D15" s="12" t="s">
        <v>119</v>
      </c>
      <c r="E15" s="12" t="s">
        <v>120</v>
      </c>
      <c r="F15" s="13" t="s">
        <v>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10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</row>
    <row r="4" customFormat="false" ht="15" hidden="false" customHeight="true" outlineLevel="0" collapsed="false">
      <c r="A4" s="11" t="s">
        <v>121</v>
      </c>
      <c r="B4" s="11" t="s">
        <v>23</v>
      </c>
      <c r="C4" s="12" t="s">
        <v>122</v>
      </c>
      <c r="D4" s="12" t="s">
        <v>123</v>
      </c>
      <c r="E4" s="12" t="s">
        <v>124</v>
      </c>
      <c r="F4" s="13" t="s">
        <v>27</v>
      </c>
    </row>
    <row r="5" customFormat="false" ht="15" hidden="false" customHeight="true" outlineLevel="0" collapsed="false">
      <c r="A5" s="11" t="s">
        <v>125</v>
      </c>
      <c r="B5" s="11" t="s">
        <v>23</v>
      </c>
      <c r="C5" s="12" t="s">
        <v>122</v>
      </c>
      <c r="D5" s="12" t="s">
        <v>126</v>
      </c>
      <c r="E5" s="12" t="s">
        <v>30</v>
      </c>
      <c r="F5" s="13" t="s">
        <v>27</v>
      </c>
    </row>
    <row r="6" customFormat="false" ht="15" hidden="false" customHeight="true" outlineLevel="0" collapsed="false">
      <c r="A6" s="11" t="s">
        <v>127</v>
      </c>
      <c r="B6" s="11" t="s">
        <v>23</v>
      </c>
      <c r="C6" s="12" t="s">
        <v>122</v>
      </c>
      <c r="D6" s="12" t="s">
        <v>128</v>
      </c>
      <c r="E6" s="12" t="s">
        <v>129</v>
      </c>
      <c r="F6" s="13" t="s">
        <v>27</v>
      </c>
    </row>
    <row r="7" customFormat="false" ht="15" hidden="false" customHeight="true" outlineLevel="0" collapsed="false">
      <c r="A7" s="11" t="s">
        <v>130</v>
      </c>
      <c r="B7" s="11" t="s">
        <v>23</v>
      </c>
      <c r="C7" s="12" t="s">
        <v>122</v>
      </c>
      <c r="D7" s="12" t="s">
        <v>131</v>
      </c>
      <c r="E7" s="12" t="s">
        <v>104</v>
      </c>
      <c r="F7" s="13" t="s">
        <v>27</v>
      </c>
    </row>
    <row r="8" customFormat="false" ht="15" hidden="false" customHeight="true" outlineLevel="0" collapsed="false">
      <c r="A8" s="11" t="s">
        <v>132</v>
      </c>
      <c r="B8" s="11" t="s">
        <v>23</v>
      </c>
      <c r="C8" s="12" t="s">
        <v>122</v>
      </c>
      <c r="D8" s="12" t="s">
        <v>133</v>
      </c>
      <c r="E8" s="12" t="s">
        <v>78</v>
      </c>
      <c r="F8" s="13" t="s">
        <v>27</v>
      </c>
    </row>
    <row r="9" customFormat="false" ht="15" hidden="false" customHeight="true" outlineLevel="0" collapsed="false">
      <c r="A9" s="11" t="s">
        <v>134</v>
      </c>
      <c r="B9" s="11" t="s">
        <v>66</v>
      </c>
      <c r="C9" s="12" t="s">
        <v>122</v>
      </c>
      <c r="D9" s="12" t="s">
        <v>135</v>
      </c>
      <c r="E9" s="12" t="s">
        <v>136</v>
      </c>
      <c r="F9" s="13" t="s">
        <v>27</v>
      </c>
    </row>
    <row r="10" customFormat="false" ht="15" hidden="false" customHeight="true" outlineLevel="0" collapsed="false">
      <c r="A10" s="11" t="s">
        <v>137</v>
      </c>
      <c r="B10" s="11" t="s">
        <v>111</v>
      </c>
      <c r="C10" s="12" t="s">
        <v>138</v>
      </c>
      <c r="D10" s="12" t="s">
        <v>139</v>
      </c>
      <c r="E10" s="12" t="s">
        <v>113</v>
      </c>
      <c r="F10" s="13" t="s">
        <v>27</v>
      </c>
    </row>
    <row r="11" customFormat="false" ht="15" hidden="false" customHeight="true" outlineLevel="0" collapsed="false">
      <c r="A11" s="11" t="s">
        <v>140</v>
      </c>
      <c r="B11" s="11" t="s">
        <v>111</v>
      </c>
      <c r="C11" s="12" t="s">
        <v>138</v>
      </c>
      <c r="D11" s="12" t="s">
        <v>141</v>
      </c>
      <c r="E11" s="12" t="s">
        <v>142</v>
      </c>
      <c r="F11" s="13" t="s">
        <v>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11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</row>
    <row r="4" customFormat="false" ht="15" hidden="false" customHeight="true" outlineLevel="0" collapsed="false">
      <c r="A4" s="11" t="s">
        <v>143</v>
      </c>
      <c r="B4" s="11" t="s">
        <v>23</v>
      </c>
      <c r="C4" s="12" t="s">
        <v>144</v>
      </c>
      <c r="D4" s="12" t="s">
        <v>145</v>
      </c>
      <c r="E4" s="12" t="s">
        <v>146</v>
      </c>
      <c r="F4" s="13" t="s">
        <v>27</v>
      </c>
    </row>
    <row r="5" customFormat="false" ht="15" hidden="false" customHeight="true" outlineLevel="0" collapsed="false">
      <c r="A5" s="11" t="s">
        <v>147</v>
      </c>
      <c r="B5" s="11" t="s">
        <v>23</v>
      </c>
      <c r="C5" s="12" t="s">
        <v>144</v>
      </c>
      <c r="D5" s="12" t="s">
        <v>148</v>
      </c>
      <c r="E5" s="12" t="s">
        <v>33</v>
      </c>
      <c r="F5" s="13" t="s">
        <v>27</v>
      </c>
    </row>
    <row r="6" customFormat="false" ht="15" hidden="false" customHeight="true" outlineLevel="0" collapsed="false">
      <c r="A6" s="11" t="s">
        <v>149</v>
      </c>
      <c r="B6" s="11" t="s">
        <v>23</v>
      </c>
      <c r="C6" s="12" t="s">
        <v>144</v>
      </c>
      <c r="D6" s="12" t="s">
        <v>150</v>
      </c>
      <c r="E6" s="12" t="s">
        <v>151</v>
      </c>
      <c r="F6" s="13" t="s">
        <v>27</v>
      </c>
    </row>
    <row r="7" customFormat="false" ht="15" hidden="false" customHeight="true" outlineLevel="0" collapsed="false">
      <c r="A7" s="11" t="s">
        <v>152</v>
      </c>
      <c r="B7" s="11" t="s">
        <v>23</v>
      </c>
      <c r="C7" s="12" t="s">
        <v>144</v>
      </c>
      <c r="D7" s="12" t="s">
        <v>153</v>
      </c>
      <c r="E7" s="12" t="s">
        <v>78</v>
      </c>
      <c r="F7" s="13" t="s">
        <v>27</v>
      </c>
    </row>
    <row r="8" customFormat="false" ht="15" hidden="false" customHeight="true" outlineLevel="0" collapsed="false">
      <c r="A8" s="11" t="s">
        <v>154</v>
      </c>
      <c r="B8" s="11" t="s">
        <v>66</v>
      </c>
      <c r="C8" s="12" t="s">
        <v>155</v>
      </c>
      <c r="D8" s="12" t="s">
        <v>156</v>
      </c>
      <c r="E8" s="12" t="s">
        <v>95</v>
      </c>
      <c r="F8" s="13" t="s">
        <v>27</v>
      </c>
    </row>
    <row r="9" customFormat="false" ht="23.25" hidden="false" customHeight="true" outlineLevel="0" collapsed="false">
      <c r="A9" s="11" t="s">
        <v>157</v>
      </c>
      <c r="B9" s="11" t="s">
        <v>66</v>
      </c>
      <c r="C9" s="12" t="s">
        <v>158</v>
      </c>
      <c r="D9" s="12" t="s">
        <v>159</v>
      </c>
      <c r="E9" s="12" t="s">
        <v>160</v>
      </c>
      <c r="F9" s="13" t="s">
        <v>27</v>
      </c>
    </row>
    <row r="10" customFormat="false" ht="15" hidden="false" customHeight="true" outlineLevel="0" collapsed="false">
      <c r="A10" s="11" t="s">
        <v>161</v>
      </c>
      <c r="B10" s="11" t="s">
        <v>66</v>
      </c>
      <c r="C10" s="12" t="s">
        <v>162</v>
      </c>
      <c r="D10" s="12" t="s">
        <v>163</v>
      </c>
      <c r="E10" s="12" t="s">
        <v>164</v>
      </c>
      <c r="F10" s="13" t="s">
        <v>27</v>
      </c>
    </row>
    <row r="11" customFormat="false" ht="23.25" hidden="false" customHeight="true" outlineLevel="0" collapsed="false">
      <c r="A11" s="11" t="s">
        <v>165</v>
      </c>
      <c r="B11" s="11" t="s">
        <v>66</v>
      </c>
      <c r="C11" s="12" t="s">
        <v>166</v>
      </c>
      <c r="D11" s="12" t="s">
        <v>167</v>
      </c>
      <c r="E11" s="12" t="s">
        <v>168</v>
      </c>
      <c r="F11" s="13" t="s">
        <v>27</v>
      </c>
    </row>
    <row r="12" customFormat="false" ht="15" hidden="false" customHeight="true" outlineLevel="0" collapsed="false">
      <c r="A12" s="11" t="s">
        <v>169</v>
      </c>
      <c r="B12" s="11" t="s">
        <v>66</v>
      </c>
      <c r="C12" s="12" t="s">
        <v>170</v>
      </c>
      <c r="D12" s="12" t="s">
        <v>171</v>
      </c>
      <c r="E12" s="12" t="s">
        <v>99</v>
      </c>
      <c r="F12" s="13" t="s">
        <v>27</v>
      </c>
    </row>
    <row r="13" customFormat="false" ht="15" hidden="false" customHeight="true" outlineLevel="0" collapsed="false">
      <c r="A13" s="11" t="s">
        <v>172</v>
      </c>
      <c r="B13" s="11" t="s">
        <v>66</v>
      </c>
      <c r="C13" s="12" t="s">
        <v>170</v>
      </c>
      <c r="D13" s="12" t="s">
        <v>173</v>
      </c>
      <c r="E13" s="12" t="s">
        <v>78</v>
      </c>
      <c r="F13" s="13" t="s">
        <v>27</v>
      </c>
    </row>
    <row r="14" customFormat="false" ht="15" hidden="false" customHeight="true" outlineLevel="0" collapsed="false">
      <c r="A14" s="11" t="s">
        <v>174</v>
      </c>
      <c r="B14" s="11" t="s">
        <v>106</v>
      </c>
      <c r="C14" s="12" t="s">
        <v>170</v>
      </c>
      <c r="D14" s="12" t="s">
        <v>175</v>
      </c>
      <c r="E14" s="12" t="s">
        <v>99</v>
      </c>
      <c r="F14" s="13" t="s">
        <v>27</v>
      </c>
    </row>
    <row r="15" customFormat="false" ht="15" hidden="false" customHeight="true" outlineLevel="0" collapsed="false">
      <c r="A15" s="11" t="s">
        <v>176</v>
      </c>
      <c r="B15" s="11" t="s">
        <v>106</v>
      </c>
      <c r="C15" s="12" t="s">
        <v>170</v>
      </c>
      <c r="D15" s="12" t="s">
        <v>177</v>
      </c>
      <c r="E15" s="12" t="s">
        <v>99</v>
      </c>
      <c r="F15" s="13" t="s">
        <v>27</v>
      </c>
    </row>
    <row r="16" customFormat="false" ht="23.25" hidden="false" customHeight="true" outlineLevel="0" collapsed="false">
      <c r="A16" s="11" t="s">
        <v>178</v>
      </c>
      <c r="B16" s="11" t="s">
        <v>106</v>
      </c>
      <c r="C16" s="12" t="s">
        <v>170</v>
      </c>
      <c r="D16" s="12" t="s">
        <v>179</v>
      </c>
      <c r="E16" s="12" t="s">
        <v>78</v>
      </c>
      <c r="F16" s="13" t="s">
        <v>27</v>
      </c>
    </row>
    <row r="17" customFormat="false" ht="15" hidden="false" customHeight="true" outlineLevel="0" collapsed="false">
      <c r="A17" s="11" t="s">
        <v>180</v>
      </c>
      <c r="B17" s="11" t="s">
        <v>106</v>
      </c>
      <c r="C17" s="12" t="s">
        <v>170</v>
      </c>
      <c r="D17" s="12" t="s">
        <v>181</v>
      </c>
      <c r="E17" s="12" t="s">
        <v>182</v>
      </c>
      <c r="F17" s="13" t="s">
        <v>27</v>
      </c>
    </row>
    <row r="18" customFormat="false" ht="15" hidden="false" customHeight="true" outlineLevel="0" collapsed="false">
      <c r="A18" s="11" t="s">
        <v>183</v>
      </c>
      <c r="B18" s="11" t="s">
        <v>111</v>
      </c>
      <c r="C18" s="12" t="s">
        <v>170</v>
      </c>
      <c r="D18" s="12" t="s">
        <v>184</v>
      </c>
      <c r="E18" s="12" t="s">
        <v>113</v>
      </c>
      <c r="F18" s="13" t="s">
        <v>27</v>
      </c>
    </row>
    <row r="19" customFormat="false" ht="15" hidden="false" customHeight="true" outlineLevel="0" collapsed="false">
      <c r="A19" s="11" t="s">
        <v>185</v>
      </c>
      <c r="B19" s="11" t="s">
        <v>111</v>
      </c>
      <c r="C19" s="12" t="s">
        <v>170</v>
      </c>
      <c r="D19" s="12" t="s">
        <v>186</v>
      </c>
      <c r="E19" s="12" t="s">
        <v>78</v>
      </c>
      <c r="F19" s="13" t="s">
        <v>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12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</row>
    <row r="4" customFormat="false" ht="15" hidden="false" customHeight="true" outlineLevel="0" collapsed="false">
      <c r="A4" s="11" t="s">
        <v>187</v>
      </c>
      <c r="B4" s="11" t="s">
        <v>23</v>
      </c>
      <c r="C4" s="12" t="s">
        <v>188</v>
      </c>
      <c r="D4" s="12" t="s">
        <v>189</v>
      </c>
      <c r="E4" s="12" t="s">
        <v>124</v>
      </c>
      <c r="F4" s="13" t="s">
        <v>27</v>
      </c>
    </row>
    <row r="5" customFormat="false" ht="15" hidden="false" customHeight="true" outlineLevel="0" collapsed="false">
      <c r="A5" s="11" t="s">
        <v>190</v>
      </c>
      <c r="B5" s="11" t="s">
        <v>66</v>
      </c>
      <c r="C5" s="12" t="s">
        <v>188</v>
      </c>
      <c r="D5" s="12" t="s">
        <v>191</v>
      </c>
      <c r="E5" s="12" t="s">
        <v>78</v>
      </c>
      <c r="F5" s="13" t="s">
        <v>27</v>
      </c>
    </row>
    <row r="6" customFormat="false" ht="15" hidden="false" customHeight="true" outlineLevel="0" collapsed="false">
      <c r="A6" s="11" t="s">
        <v>192</v>
      </c>
      <c r="B6" s="11" t="s">
        <v>23</v>
      </c>
      <c r="C6" s="12" t="s">
        <v>193</v>
      </c>
      <c r="D6" s="12" t="s">
        <v>194</v>
      </c>
      <c r="E6" s="12" t="s">
        <v>124</v>
      </c>
      <c r="F6" s="13" t="s">
        <v>27</v>
      </c>
    </row>
    <row r="7" customFormat="false" ht="15" hidden="false" customHeight="true" outlineLevel="0" collapsed="false">
      <c r="A7" s="11" t="s">
        <v>195</v>
      </c>
      <c r="B7" s="11" t="s">
        <v>23</v>
      </c>
      <c r="C7" s="12" t="s">
        <v>193</v>
      </c>
      <c r="D7" s="12" t="s">
        <v>196</v>
      </c>
      <c r="E7" s="12" t="s">
        <v>151</v>
      </c>
      <c r="F7" s="13" t="s">
        <v>27</v>
      </c>
    </row>
    <row r="8" customFormat="false" ht="15" hidden="false" customHeight="true" outlineLevel="0" collapsed="false">
      <c r="A8" s="11" t="s">
        <v>197</v>
      </c>
      <c r="B8" s="11" t="s">
        <v>23</v>
      </c>
      <c r="C8" s="12" t="s">
        <v>193</v>
      </c>
      <c r="D8" s="12" t="s">
        <v>198</v>
      </c>
      <c r="E8" s="12" t="s">
        <v>199</v>
      </c>
      <c r="F8" s="13" t="s">
        <v>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13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</row>
    <row r="4" customFormat="false" ht="15" hidden="false" customHeight="true" outlineLevel="0" collapsed="false">
      <c r="A4" s="11" t="s">
        <v>200</v>
      </c>
      <c r="B4" s="11" t="s">
        <v>66</v>
      </c>
      <c r="C4" s="12" t="s">
        <v>201</v>
      </c>
      <c r="D4" s="12" t="s">
        <v>202</v>
      </c>
      <c r="E4" s="12" t="s">
        <v>203</v>
      </c>
      <c r="F4" s="13" t="s">
        <v>27</v>
      </c>
    </row>
    <row r="5" customFormat="false" ht="15" hidden="false" customHeight="true" outlineLevel="0" collapsed="false">
      <c r="A5" s="11" t="s">
        <v>204</v>
      </c>
      <c r="B5" s="11" t="s">
        <v>23</v>
      </c>
      <c r="C5" s="12" t="s">
        <v>205</v>
      </c>
      <c r="D5" s="12" t="s">
        <v>206</v>
      </c>
      <c r="E5" s="12" t="s">
        <v>207</v>
      </c>
      <c r="F5" s="13" t="s">
        <v>27</v>
      </c>
    </row>
    <row r="6" customFormat="false" ht="15" hidden="false" customHeight="true" outlineLevel="0" collapsed="false">
      <c r="A6" s="11" t="s">
        <v>208</v>
      </c>
      <c r="B6" s="11" t="s">
        <v>209</v>
      </c>
      <c r="C6" s="12" t="s">
        <v>210</v>
      </c>
      <c r="D6" s="12" t="s">
        <v>211</v>
      </c>
      <c r="E6" s="12" t="s">
        <v>212</v>
      </c>
      <c r="F6" s="13" t="s">
        <v>27</v>
      </c>
    </row>
    <row r="7" customFormat="false" ht="15" hidden="false" customHeight="true" outlineLevel="0" collapsed="false">
      <c r="A7" s="11" t="s">
        <v>213</v>
      </c>
      <c r="B7" s="11" t="s">
        <v>66</v>
      </c>
      <c r="C7" s="12" t="s">
        <v>214</v>
      </c>
      <c r="D7" s="12" t="s">
        <v>215</v>
      </c>
      <c r="E7" s="12" t="s">
        <v>64</v>
      </c>
      <c r="F7" s="13" t="s">
        <v>27</v>
      </c>
    </row>
    <row r="8" customFormat="false" ht="15" hidden="false" customHeight="true" outlineLevel="0" collapsed="false">
      <c r="A8" s="11" t="s">
        <v>216</v>
      </c>
      <c r="B8" s="11" t="s">
        <v>66</v>
      </c>
      <c r="C8" s="12" t="s">
        <v>214</v>
      </c>
      <c r="D8" s="12" t="s">
        <v>217</v>
      </c>
      <c r="E8" s="12" t="s">
        <v>64</v>
      </c>
      <c r="F8" s="13" t="s">
        <v>27</v>
      </c>
    </row>
    <row r="9" customFormat="false" ht="15" hidden="false" customHeight="true" outlineLevel="0" collapsed="false">
      <c r="A9" s="11" t="s">
        <v>218</v>
      </c>
      <c r="B9" s="11" t="s">
        <v>66</v>
      </c>
      <c r="C9" s="12" t="s">
        <v>219</v>
      </c>
      <c r="D9" s="12" t="s">
        <v>220</v>
      </c>
      <c r="E9" s="12" t="s">
        <v>221</v>
      </c>
      <c r="F9" s="13" t="s">
        <v>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2026-08-26T07:49:34Z</dcterms:created>
  <dc:creator>openpyxl</dc:creator>
  <dc:description/>
  <dc:language>en-US</dc:language>
  <cp:lastModifiedBy/>
  <dcterms:modified xsi:type="dcterms:W3CDTF">2026-08-26T08:35:03Z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